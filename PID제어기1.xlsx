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7148" windowHeight="77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</calcChain>
</file>

<file path=xl/sharedStrings.xml><?xml version="1.0" encoding="utf-8"?>
<sst xmlns="http://schemas.openxmlformats.org/spreadsheetml/2006/main" count="51" uniqueCount="40">
  <si>
    <t>목표 오버슈트 (%OS)</t>
  </si>
  <si>
    <t>%</t>
  </si>
  <si>
    <t>목표 정착 시간 (Ts)</t>
  </si>
  <si>
    <t>초</t>
  </si>
  <si>
    <t>기체 관성모멘트 (Ixx)</t>
  </si>
  <si>
    <t>kg·m²</t>
  </si>
  <si>
    <t>최적 감쇠비 (zeta)</t>
  </si>
  <si>
    <t>-</t>
  </si>
  <si>
    <t>rad/s</t>
  </si>
  <si>
    <t>목표 주극 실수부 (sigma)</t>
  </si>
  <si>
    <t>목표 주극 허수부 (wd)</t>
  </si>
  <si>
    <t>deg</t>
  </si>
  <si>
    <t>제어기 영점 목표 각도 (theta_z)</t>
  </si>
  <si>
    <t>근궤적 180도 각도 조건을 만족하기 위한 영점 각도</t>
  </si>
  <si>
    <t>제어기 영점 위치 (zc)</t>
  </si>
  <si>
    <t>극점 벡터 길이의 곱</t>
  </si>
  <si>
    <t>영점 벡터 길이</t>
  </si>
  <si>
    <t>크기 조건 계산을 위한 영점 벡터 길이</t>
  </si>
  <si>
    <t>원점 이중극점 각도 (sum_p)</t>
  </si>
  <si>
    <t>목표 자연주파수 (wn)</t>
  </si>
  <si>
    <t>[입력] 원하는 오버슈트 스펙 (예: 5, 10)</t>
  </si>
  <si>
    <t>[입력] 모터 성능 한계를 고려한 시스템 대역폭 (10 고정)</t>
  </si>
  <si>
    <t>[입력] 드론 프레임/가드 반영 물리량 (0.015 고정)</t>
  </si>
  <si>
    <t>목표 %OS를 충족하는 s-평면 제타 라인 역산</t>
  </si>
  <si>
    <t>전체 시스템 T(s) 기준의 수식적 정착 시간 (0.58초)</t>
  </si>
  <si>
    <t>Closed-loop 주극의 실수축 좌표 (-ζωn)</t>
  </si>
  <si>
    <t>Closed-loop 주극의 허수축 좌표 (ωd)</t>
  </si>
  <si>
    <t>플랜트 물리 상수 (K_drone)</t>
  </si>
  <si>
    <t>G(s) = K_drone / s^2 에서 분자 값 (66.67)</t>
  </si>
  <si>
    <t>원점 극점 2개가 주극을 바라보는 각도 합</t>
  </si>
  <si>
    <t>PD 제어기 고유의 영점 주입 위치 (Kp/Kd = 7.25)</t>
  </si>
  <si>
    <t>크기 조건 계산을 위한 극점 벡터 길이의 총 곱</t>
  </si>
  <si>
    <t>수학적 전체 이득 (K_final)</t>
  </si>
  <si>
    <t>★ T(s) 전체 기준으로 유도된 분자의 총합 게인 (13.79)</t>
  </si>
  <si>
    <t>보상기 실제 미분게인 (Kd)</t>
  </si>
  <si>
    <t>★ 코드용 정밀 게인 (전체 이득 13.79 / 플랜트 상수 66.67)</t>
  </si>
  <si>
    <t>보상기 실제 비례게인 (Kp)</t>
  </si>
  <si>
    <t>★ 코드용 정밀 게인 (실제 미분게인 Kd * 영점 위치 zc)</t>
  </si>
  <si>
    <t>최종 결합된 분자 총 게인</t>
  </si>
  <si>
    <t>[검증] 플랜트 상수(66.67) * 보상기 Kd = 전체 이득 (13.79)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</si>
</sst>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1">
      <alignment vertical="center"/>
    </xf>
  </cellXfs>
  <cellStyles count="2"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zoomScale="115" zoomScaleNormal="115" workbookViewId="0">
      <selection activeCell="D14" sqref="D14"/>
    </sheetView>
  </sheetViews>
  <sheetFormatPr defaultRowHeight="17.399999999999999" x14ac:dyDescent="0.4"/>
  <cols>
    <col min="1" max="1" width="26.296875" customWidth="1"/>
    <col min="2" max="2" width="20.19921875" customWidth="1"/>
    <col min="3" max="3" width="14.8984375" customWidth="1"/>
  </cols>
  <sheetData>
    <row r="1" spans="1:4" x14ac:dyDescent="0.4">
      <c r="A1" t="s">
        <v>0</v>
      </c>
      <c r="B1">
        <v>5</v>
      </c>
      <c r="C1" t="s">
        <v>1</v>
      </c>
      <c r="D1" t="s">
        <v>20</v>
      </c>
    </row>
    <row r="2" spans="1:4" x14ac:dyDescent="0.4">
      <c r="A2" t="s">
        <v>19</v>
      </c>
      <c r="B2">
        <v>10</v>
      </c>
      <c r="C2" t="s">
        <v>8</v>
      </c>
      <c r="D2" t="s">
        <v>21</v>
      </c>
    </row>
    <row r="3" spans="1:4" x14ac:dyDescent="0.4">
      <c r="A3" t="s">
        <v>4</v>
      </c>
      <c r="B3">
        <v>1.4999999999999999E-2</v>
      </c>
      <c r="C3" t="s">
        <v>5</v>
      </c>
      <c r="D3" t="s">
        <v>22</v>
      </c>
    </row>
    <row r="4" spans="1:4" x14ac:dyDescent="0.4">
      <c r="A4" t="s">
        <v>6</v>
      </c>
      <c r="B4">
        <f>-LN(B1/100)/SQRT(PI()^2+LN(B1/100)^2)</f>
        <v>0.69010673055982175</v>
      </c>
      <c r="C4" t="s">
        <v>7</v>
      </c>
      <c r="D4" t="s">
        <v>23</v>
      </c>
    </row>
    <row r="5" spans="1:4" x14ac:dyDescent="0.4">
      <c r="A5" t="s">
        <v>2</v>
      </c>
      <c r="B5">
        <f>4/(B4*B2)</f>
        <v>0.57962048808814814</v>
      </c>
      <c r="C5" t="s">
        <v>3</v>
      </c>
      <c r="D5" t="s">
        <v>24</v>
      </c>
    </row>
    <row r="6" spans="1:4" x14ac:dyDescent="0.4">
      <c r="A6" t="s">
        <v>9</v>
      </c>
      <c r="B6">
        <f>-B4*B2</f>
        <v>-6.9010673055982172</v>
      </c>
      <c r="C6" t="s">
        <v>7</v>
      </c>
      <c r="D6" t="s">
        <v>25</v>
      </c>
    </row>
    <row r="7" spans="1:4" x14ac:dyDescent="0.4">
      <c r="A7" t="s">
        <v>10</v>
      </c>
      <c r="B7">
        <f>B2*SQRT(1-B4^2)</f>
        <v>7.2370760700439893</v>
      </c>
      <c r="C7" t="s">
        <v>7</v>
      </c>
      <c r="D7" t="s">
        <v>26</v>
      </c>
    </row>
    <row r="8" spans="1:4" x14ac:dyDescent="0.4">
      <c r="A8" t="s">
        <v>27</v>
      </c>
      <c r="B8">
        <f>1/B3</f>
        <v>66.666666666666671</v>
      </c>
      <c r="C8" t="s">
        <v>7</v>
      </c>
      <c r="D8" t="s">
        <v>28</v>
      </c>
    </row>
    <row r="9" spans="1:4" x14ac:dyDescent="0.4">
      <c r="A9" t="s">
        <v>18</v>
      </c>
      <c r="B9">
        <f>(180-ATAN2(-B6,B7)*180/PI())*2</f>
        <v>267.27711621972196</v>
      </c>
      <c r="C9" t="s">
        <v>11</v>
      </c>
      <c r="D9" t="s">
        <v>29</v>
      </c>
    </row>
    <row r="10" spans="1:4" x14ac:dyDescent="0.4">
      <c r="A10" t="s">
        <v>12</v>
      </c>
      <c r="B10">
        <f>B9-180</f>
        <v>87.277116219721961</v>
      </c>
      <c r="C10" t="s">
        <v>11</v>
      </c>
      <c r="D10" t="s">
        <v>13</v>
      </c>
    </row>
    <row r="11" spans="1:4" x14ac:dyDescent="0.4">
      <c r="A11" t="s">
        <v>14</v>
      </c>
      <c r="B11">
        <f>-B6+(B7/TAN(B10*PI()/180))</f>
        <v>7.2452561011018499</v>
      </c>
      <c r="C11" t="s">
        <v>7</v>
      </c>
      <c r="D11" t="s">
        <v>30</v>
      </c>
    </row>
    <row r="12" spans="1:4" x14ac:dyDescent="0.4">
      <c r="A12" t="s">
        <v>15</v>
      </c>
      <c r="B12">
        <f>(B6^2+B7^2)</f>
        <v>99.999999999999986</v>
      </c>
      <c r="C12" t="s">
        <v>7</v>
      </c>
      <c r="D12" t="s">
        <v>31</v>
      </c>
    </row>
    <row r="13" spans="1:4" x14ac:dyDescent="0.4">
      <c r="A13" t="s">
        <v>16</v>
      </c>
      <c r="B13">
        <f>SQRT((B11+B6)^2+B7^2)</f>
        <v>7.2452561011018508</v>
      </c>
      <c r="C13" t="s">
        <v>7</v>
      </c>
      <c r="D13" t="s">
        <v>17</v>
      </c>
    </row>
    <row r="14" spans="1:4" x14ac:dyDescent="0.4">
      <c r="A14" t="s">
        <v>32</v>
      </c>
      <c r="B14">
        <f>B12/B13</f>
        <v>13.802134611196434</v>
      </c>
      <c r="C14" t="s">
        <v>7</v>
      </c>
      <c r="D14" t="s">
        <v>33</v>
      </c>
    </row>
    <row r="15" spans="1:4" x14ac:dyDescent="0.4">
      <c r="A15" s="1" t="s">
        <v>34</v>
      </c>
      <c r="B15" s="1">
        <f>B14/B8</f>
        <v>0.2070320191679465</v>
      </c>
      <c r="C15" s="1" t="s">
        <v>7</v>
      </c>
      <c r="D15" s="1" t="s">
        <v>35</v>
      </c>
    </row>
    <row r="16" spans="1:4" x14ac:dyDescent="0.4">
      <c r="A16" s="1" t="s">
        <v>36</v>
      </c>
      <c r="B16" s="1">
        <f>B15*B11</f>
        <v>1.4999999999999996</v>
      </c>
      <c r="C16" s="1" t="s">
        <v>7</v>
      </c>
      <c r="D16" s="1" t="s">
        <v>37</v>
      </c>
    </row>
    <row r="17" spans="1:4" x14ac:dyDescent="0.4">
      <c r="A17" s="1" t="s">
        <v>38</v>
      </c>
      <c r="B17" s="1">
        <f>B8*B15</f>
        <v>13.802134611196434</v>
      </c>
      <c r="C17" s="1" t="s">
        <v>7</v>
      </c>
      <c r="D17" s="1" t="s">
        <v>39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2026-05-23T21:23:35Z</dcterms:created>
  <dcterms:modified xsi:type="dcterms:W3CDTF">2026-05-23T21:52:32Z</dcterms:modified>
</cp:coreProperties>
</file>